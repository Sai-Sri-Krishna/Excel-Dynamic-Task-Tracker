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13_ncr:1_{CCEA3530-D80D-49C1-AB51-AD018A307CC5}" xr6:coauthVersionLast="47" xr6:coauthVersionMax="47" xr10:uidLastSave="{00000000-0000-0000-0000-000000000000}"/>
  <bookViews>
    <workbookView xWindow="-108" yWindow="-108" windowWidth="23256" windowHeight="13176" activeTab="1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4" l="1"/>
  <c r="J30" i="4"/>
  <c r="I4" i="2"/>
  <c r="I5" i="2"/>
  <c r="I6" i="2"/>
  <c r="I3" i="2"/>
  <c r="F4" i="2"/>
  <c r="F5" i="2"/>
  <c r="F6" i="2"/>
  <c r="F7" i="2"/>
  <c r="F3" i="2"/>
  <c r="C4" i="2"/>
  <c r="C5" i="2"/>
  <c r="C3" i="2"/>
  <c r="H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C6" i="2" l="1"/>
  <c r="K3" i="2"/>
</calcChain>
</file>

<file path=xl/sharedStrings.xml><?xml version="1.0" encoding="utf-8"?>
<sst xmlns="http://schemas.openxmlformats.org/spreadsheetml/2006/main" count="125" uniqueCount="73">
  <si>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</si>
  <si>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</si>
  <si>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</si>
  <si>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</si>
  <si>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</si>
  <si>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</si>
  <si>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</si>
  <si>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</si>
  <si>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</si>
  <si>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</si>
  <si>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</si>
  <si>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</si>
  <si>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</si>
  <si>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</si>
  <si>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</si>
  <si>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</si>
  <si>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</si>
  <si>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</si>
  <si>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</si>
  <si>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</si>
  <si>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</si>
  <si>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</si>
  <si>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</si>
  <si>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</si>
  <si>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</si>
  <si>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</si>
  <si>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</si>
  <si>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</si>
  <si>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</si>
  <si>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</si>
  <si>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</si>
  <si>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</si>
  <si>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</si>
  <si>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</si>
  <si>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</si>
  <si>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</si>
  <si>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</si>
  <si>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</si>
  <si>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</si>
  <si>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</si>
  <si>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</si>
  <si>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</si>
  <si>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</si>
  <si>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</si>
  <si>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</si>
  <si>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</si>
  <si>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</si>
  <si>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</si>
  <si>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</si>
  <si>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</si>
  <si>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</si>
  <si>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</si>
  <si>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</si>
  <si>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</si>
  <si>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</si>
  <si>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</si>
  <si>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</si>
  <si>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</si>
  <si>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</si>
  <si>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</si>
  <si>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</si>
  <si>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</si>
  <si>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</si>
  <si>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</si>
  <si>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</si>
  <si>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</si>
  <si>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</si>
  <si>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</si>
  <si>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</si>
  <si>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</si>
  <si>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</si>
  <si>
    <t>TO16</t>
  </si>
  <si>
    <t>Dashboard buiding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</si>
</sst>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&quot; Days&quot;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ED99"/>
      <color rgb="FF22577A"/>
      <color rgb="FFC7F9CC"/>
      <color rgb="FFC0E6F5"/>
      <color rgb="FF57CC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05467707929952"/>
          <c:y val="0.16255060728744941"/>
          <c:w val="0.72659013166386988"/>
          <c:h val="0.6814556834241873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D-455E-A242-80F655A7038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8D-455E-A242-80F655A7038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8D-455E-A242-80F655A7038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8D-455E-A242-80F655A7038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8D-455E-A242-80F655A703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D-455E-A242-80F655A703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100"/>
        <c:axId val="1909213151"/>
        <c:axId val="474962831"/>
      </c:barChart>
      <c:catAx>
        <c:axId val="1909213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62831"/>
        <c:crosses val="autoZero"/>
        <c:auto val="1"/>
        <c:lblAlgn val="ctr"/>
        <c:lblOffset val="100"/>
        <c:noMultiLvlLbl val="0"/>
      </c:catAx>
      <c:valAx>
        <c:axId val="4749628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# Of</a:t>
            </a:r>
            <a:r>
              <a:rPr lang="en-US" b="1" baseline="0">
                <a:solidFill>
                  <a:schemeClr val="bg1"/>
                </a:solidFill>
              </a:rPr>
              <a:t> Tasks by Team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026340248671584"/>
          <c:y val="6.0728744939271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18890623081916"/>
          <c:y val="0.16929824561403509"/>
          <c:w val="0.77297961641209101"/>
          <c:h val="0.756477732793522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8-4DD2-8A6C-29DEA183F2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9"/>
        <c:overlap val="100"/>
        <c:axId val="637418863"/>
        <c:axId val="474919631"/>
      </c:barChart>
      <c:catAx>
        <c:axId val="6374188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19631"/>
        <c:crosses val="autoZero"/>
        <c:auto val="1"/>
        <c:lblAlgn val="ctr"/>
        <c:lblOffset val="100"/>
        <c:noMultiLvlLbl val="0"/>
      </c:catAx>
      <c:valAx>
        <c:axId val="474919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741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0</xdr:row>
      <xdr:rowOff>60960</xdr:rowOff>
    </xdr:from>
    <xdr:to>
      <xdr:col>11</xdr:col>
      <xdr:colOff>15240</xdr:colOff>
      <xdr:row>3</xdr:row>
      <xdr:rowOff>7620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119153F4-EC40-4735-ACDF-7EDC53CD8D42}"/>
            </a:ext>
          </a:extLst>
        </xdr:cNvPr>
        <xdr:cNvSpPr/>
      </xdr:nvSpPr>
      <xdr:spPr>
        <a:xfrm>
          <a:off x="220980" y="60960"/>
          <a:ext cx="12976860" cy="64770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3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Task</a:t>
          </a:r>
          <a:r>
            <a:rPr lang="en-US" sz="3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Managment Tracker</a:t>
          </a:r>
          <a:endParaRPr lang="en-US" sz="32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144780</xdr:colOff>
      <xdr:row>3</xdr:row>
      <xdr:rowOff>129540</xdr:rowOff>
    </xdr:from>
    <xdr:to>
      <xdr:col>2</xdr:col>
      <xdr:colOff>601980</xdr:colOff>
      <xdr:row>7</xdr:row>
      <xdr:rowOff>137160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63201B14-2B10-44CD-8F96-0FDBAE5F7B47}"/>
            </a:ext>
          </a:extLst>
        </xdr:cNvPr>
        <xdr:cNvSpPr/>
      </xdr:nvSpPr>
      <xdr:spPr>
        <a:xfrm>
          <a:off x="411480" y="830580"/>
          <a:ext cx="1234440" cy="800100"/>
        </a:xfrm>
        <a:prstGeom prst="roundRect">
          <a:avLst>
            <a:gd name="adj" fmla="val 17652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152400</xdr:colOff>
      <xdr:row>8</xdr:row>
      <xdr:rowOff>53340</xdr:rowOff>
    </xdr:from>
    <xdr:to>
      <xdr:col>2</xdr:col>
      <xdr:colOff>609600</xdr:colOff>
      <xdr:row>12</xdr:row>
      <xdr:rowOff>60960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0788FBFA-6F83-EAA6-0AE1-211D8B485A7A}"/>
            </a:ext>
          </a:extLst>
        </xdr:cNvPr>
        <xdr:cNvSpPr/>
      </xdr:nvSpPr>
      <xdr:spPr>
        <a:xfrm>
          <a:off x="419100" y="1744980"/>
          <a:ext cx="1234440" cy="800100"/>
        </a:xfrm>
        <a:prstGeom prst="roundRect">
          <a:avLst>
            <a:gd name="adj" fmla="val 17652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762000</xdr:colOff>
      <xdr:row>3</xdr:row>
      <xdr:rowOff>129540</xdr:rowOff>
    </xdr:from>
    <xdr:to>
      <xdr:col>2</xdr:col>
      <xdr:colOff>1996440</xdr:colOff>
      <xdr:row>7</xdr:row>
      <xdr:rowOff>137160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15ED3EEF-0C54-A170-5931-218AB751F1FB}"/>
            </a:ext>
          </a:extLst>
        </xdr:cNvPr>
        <xdr:cNvSpPr/>
      </xdr:nvSpPr>
      <xdr:spPr>
        <a:xfrm>
          <a:off x="1805940" y="830580"/>
          <a:ext cx="1234440" cy="800100"/>
        </a:xfrm>
        <a:prstGeom prst="roundRect">
          <a:avLst>
            <a:gd name="adj" fmla="val 17652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762000</xdr:colOff>
      <xdr:row>8</xdr:row>
      <xdr:rowOff>60960</xdr:rowOff>
    </xdr:from>
    <xdr:to>
      <xdr:col>2</xdr:col>
      <xdr:colOff>1996440</xdr:colOff>
      <xdr:row>12</xdr:row>
      <xdr:rowOff>68580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FCDE4689-C699-A99A-2CAF-DFDFDA9B697E}"/>
            </a:ext>
          </a:extLst>
        </xdr:cNvPr>
        <xdr:cNvSpPr/>
      </xdr:nvSpPr>
      <xdr:spPr>
        <a:xfrm>
          <a:off x="1805940" y="1752600"/>
          <a:ext cx="1234440" cy="800100"/>
        </a:xfrm>
        <a:prstGeom prst="roundRect">
          <a:avLst>
            <a:gd name="adj" fmla="val 17652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1249680</xdr:colOff>
      <xdr:row>3</xdr:row>
      <xdr:rowOff>144780</xdr:rowOff>
    </xdr:from>
    <xdr:to>
      <xdr:col>10</xdr:col>
      <xdr:colOff>3192780</xdr:colOff>
      <xdr:row>12</xdr:row>
      <xdr:rowOff>53340</xdr:rowOff>
    </xdr:to>
    <xdr:sp macro="" textlink="">
      <xdr:nvSpPr>
        <xdr:cNvPr id="12" name="Rounded Rectangle 14">
          <a:extLst>
            <a:ext uri="{FF2B5EF4-FFF2-40B4-BE49-F238E27FC236}">
              <a16:creationId xmlns:a16="http://schemas.microsoft.com/office/drawing/2014/main" id="{B50292B6-D743-49B4-B44A-4090A896B6F1}"/>
            </a:ext>
          </a:extLst>
        </xdr:cNvPr>
        <xdr:cNvSpPr/>
      </xdr:nvSpPr>
      <xdr:spPr>
        <a:xfrm>
          <a:off x="11148060" y="845820"/>
          <a:ext cx="1943100" cy="1691640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129540</xdr:colOff>
      <xdr:row>3</xdr:row>
      <xdr:rowOff>114300</xdr:rowOff>
    </xdr:from>
    <xdr:to>
      <xdr:col>10</xdr:col>
      <xdr:colOff>1028700</xdr:colOff>
      <xdr:row>12</xdr:row>
      <xdr:rowOff>45720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42B5901C-7B9B-3031-3FC5-9F09F98C87B0}"/>
            </a:ext>
          </a:extLst>
        </xdr:cNvPr>
        <xdr:cNvSpPr/>
      </xdr:nvSpPr>
      <xdr:spPr>
        <a:xfrm>
          <a:off x="7208520" y="815340"/>
          <a:ext cx="3718560" cy="1714500"/>
        </a:xfrm>
        <a:prstGeom prst="roundRect">
          <a:avLst>
            <a:gd name="adj" fmla="val 17652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2232660</xdr:colOff>
      <xdr:row>3</xdr:row>
      <xdr:rowOff>106680</xdr:rowOff>
    </xdr:from>
    <xdr:to>
      <xdr:col>6</xdr:col>
      <xdr:colOff>800100</xdr:colOff>
      <xdr:row>12</xdr:row>
      <xdr:rowOff>38100</xdr:rowOff>
    </xdr:to>
    <xdr:sp macro="" textlink="">
      <xdr:nvSpPr>
        <xdr:cNvPr id="13" name="Rounded Rectangle 14">
          <a:extLst>
            <a:ext uri="{FF2B5EF4-FFF2-40B4-BE49-F238E27FC236}">
              <a16:creationId xmlns:a16="http://schemas.microsoft.com/office/drawing/2014/main" id="{B877FAFE-0895-4387-B692-D19346533267}"/>
            </a:ext>
          </a:extLst>
        </xdr:cNvPr>
        <xdr:cNvSpPr/>
      </xdr:nvSpPr>
      <xdr:spPr>
        <a:xfrm>
          <a:off x="3276600" y="807720"/>
          <a:ext cx="3718560" cy="1714500"/>
        </a:xfrm>
        <a:prstGeom prst="roundRect">
          <a:avLst>
            <a:gd name="adj" fmla="val 17652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218788</xdr:colOff>
      <xdr:row>3</xdr:row>
      <xdr:rowOff>144780</xdr:rowOff>
    </xdr:from>
    <xdr:to>
      <xdr:col>2</xdr:col>
      <xdr:colOff>627032</xdr:colOff>
      <xdr:row>5</xdr:row>
      <xdr:rowOff>30480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24B70F-226D-0BE6-239F-47B478F30BA0}"/>
            </a:ext>
          </a:extLst>
        </xdr:cNvPr>
        <xdr:cNvSpPr txBox="1"/>
      </xdr:nvSpPr>
      <xdr:spPr>
        <a:xfrm>
          <a:off x="485488" y="845820"/>
          <a:ext cx="1185484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Completed</a:t>
          </a:r>
        </a:p>
      </xdr:txBody>
    </xdr:sp>
    <xdr:clientData/>
  </xdr:twoCellAnchor>
  <xdr:twoCellAnchor>
    <xdr:from>
      <xdr:col>1</xdr:col>
      <xdr:colOff>609600</xdr:colOff>
      <xdr:row>4</xdr:row>
      <xdr:rowOff>182880</xdr:rowOff>
    </xdr:from>
    <xdr:to>
      <xdr:col>2</xdr:col>
      <xdr:colOff>373380</xdr:colOff>
      <xdr:row>7</xdr:row>
      <xdr:rowOff>160020</xdr:rowOff>
    </xdr:to>
    <xdr:sp macro="" textlink="'Support Sheet'!C3">
      <xdr:nvSpPr>
        <xdr:cNvPr id="17" name="TextBox 16">
          <a:extLst>
            <a:ext uri="{FF2B5EF4-FFF2-40B4-BE49-F238E27FC236}">
              <a16:creationId xmlns:a16="http://schemas.microsoft.com/office/drawing/2014/main" id="{ED1E7F07-FC87-8FA2-EAA5-7A000257DA61}"/>
            </a:ext>
          </a:extLst>
        </xdr:cNvPr>
        <xdr:cNvSpPr txBox="1"/>
      </xdr:nvSpPr>
      <xdr:spPr>
        <a:xfrm>
          <a:off x="876300" y="1082040"/>
          <a:ext cx="54102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6597BC9-77D1-4E64-B394-687B8807B419}" type="TxLink">
            <a:rPr lang="en-US" sz="3200" b="1">
              <a:solidFill>
                <a:schemeClr val="bg1"/>
              </a:solidFill>
            </a:rPr>
            <a:pPr/>
            <a:t>8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836008</xdr:colOff>
      <xdr:row>3</xdr:row>
      <xdr:rowOff>152400</xdr:rowOff>
    </xdr:from>
    <xdr:to>
      <xdr:col>2</xdr:col>
      <xdr:colOff>2021492</xdr:colOff>
      <xdr:row>5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88679A4-E9EF-957F-FF9E-43261A040D74}"/>
            </a:ext>
          </a:extLst>
        </xdr:cNvPr>
        <xdr:cNvSpPr txBox="1"/>
      </xdr:nvSpPr>
      <xdr:spPr>
        <a:xfrm>
          <a:off x="1879948" y="853440"/>
          <a:ext cx="1185484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In Progress</a:t>
          </a:r>
        </a:p>
      </xdr:txBody>
    </xdr:sp>
    <xdr:clientData/>
  </xdr:twoCellAnchor>
  <xdr:twoCellAnchor>
    <xdr:from>
      <xdr:col>2</xdr:col>
      <xdr:colOff>1219200</xdr:colOff>
      <xdr:row>4</xdr:row>
      <xdr:rowOff>190500</xdr:rowOff>
    </xdr:from>
    <xdr:to>
      <xdr:col>2</xdr:col>
      <xdr:colOff>1760220</xdr:colOff>
      <xdr:row>7</xdr:row>
      <xdr:rowOff>167640</xdr:rowOff>
    </xdr:to>
    <xdr:sp macro="" textlink="'Support Sheet'!C4">
      <xdr:nvSpPr>
        <xdr:cNvPr id="21" name="TextBox 20">
          <a:extLst>
            <a:ext uri="{FF2B5EF4-FFF2-40B4-BE49-F238E27FC236}">
              <a16:creationId xmlns:a16="http://schemas.microsoft.com/office/drawing/2014/main" id="{B5468AF1-DD03-1C59-9100-E6B64B0FC470}"/>
            </a:ext>
          </a:extLst>
        </xdr:cNvPr>
        <xdr:cNvSpPr txBox="1"/>
      </xdr:nvSpPr>
      <xdr:spPr>
        <a:xfrm>
          <a:off x="2263140" y="1089660"/>
          <a:ext cx="54102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E016C37-F55E-42D1-B503-DD66F22B3284}" type="TxLink">
            <a:rPr lang="en-US" sz="3200" b="1">
              <a:solidFill>
                <a:schemeClr val="bg1"/>
              </a:solidFill>
            </a:rPr>
            <a:pPr/>
            <a:t>6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211168</xdr:colOff>
      <xdr:row>8</xdr:row>
      <xdr:rowOff>83820</xdr:rowOff>
    </xdr:from>
    <xdr:to>
      <xdr:col>2</xdr:col>
      <xdr:colOff>619412</xdr:colOff>
      <xdr:row>9</xdr:row>
      <xdr:rowOff>167640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6DB656E-6D2D-E327-480F-57CA94EE028C}"/>
            </a:ext>
          </a:extLst>
        </xdr:cNvPr>
        <xdr:cNvSpPr txBox="1"/>
      </xdr:nvSpPr>
      <xdr:spPr>
        <a:xfrm>
          <a:off x="477868" y="1775460"/>
          <a:ext cx="1185484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Not Started</a:t>
          </a:r>
        </a:p>
      </xdr:txBody>
    </xdr:sp>
    <xdr:clientData/>
  </xdr:twoCellAnchor>
  <xdr:twoCellAnchor>
    <xdr:from>
      <xdr:col>1</xdr:col>
      <xdr:colOff>601980</xdr:colOff>
      <xdr:row>9</xdr:row>
      <xdr:rowOff>121920</xdr:rowOff>
    </xdr:from>
    <xdr:to>
      <xdr:col>2</xdr:col>
      <xdr:colOff>365760</xdr:colOff>
      <xdr:row>12</xdr:row>
      <xdr:rowOff>99060</xdr:rowOff>
    </xdr:to>
    <xdr:sp macro="" textlink="'Support Sheet'!C5">
      <xdr:nvSpPr>
        <xdr:cNvPr id="23" name="TextBox 22">
          <a:extLst>
            <a:ext uri="{FF2B5EF4-FFF2-40B4-BE49-F238E27FC236}">
              <a16:creationId xmlns:a16="http://schemas.microsoft.com/office/drawing/2014/main" id="{BB3BF781-18B7-6FFD-6E92-57AC698C22DF}"/>
            </a:ext>
          </a:extLst>
        </xdr:cNvPr>
        <xdr:cNvSpPr txBox="1"/>
      </xdr:nvSpPr>
      <xdr:spPr>
        <a:xfrm>
          <a:off x="868680" y="2011680"/>
          <a:ext cx="54102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16FF890-4387-4FE5-BD41-2C5666B5B8C5}" type="TxLink">
            <a:rPr lang="en-US" sz="3200" b="1">
              <a:solidFill>
                <a:schemeClr val="bg1"/>
              </a:solidFill>
            </a:rPr>
            <a:pPr/>
            <a:t>2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820768</xdr:colOff>
      <xdr:row>8</xdr:row>
      <xdr:rowOff>76200</xdr:rowOff>
    </xdr:from>
    <xdr:to>
      <xdr:col>2</xdr:col>
      <xdr:colOff>2006252</xdr:colOff>
      <xdr:row>9</xdr:row>
      <xdr:rowOff>160020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05888E2-564F-0256-7D40-53F2EE07CB5F}"/>
            </a:ext>
          </a:extLst>
        </xdr:cNvPr>
        <xdr:cNvSpPr txBox="1"/>
      </xdr:nvSpPr>
      <xdr:spPr>
        <a:xfrm>
          <a:off x="1864708" y="1767840"/>
          <a:ext cx="1185484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bg1"/>
              </a:solidFill>
            </a:rPr>
            <a:t>Total</a:t>
          </a:r>
        </a:p>
      </xdr:txBody>
    </xdr:sp>
    <xdr:clientData/>
  </xdr:twoCellAnchor>
  <xdr:twoCellAnchor>
    <xdr:from>
      <xdr:col>2</xdr:col>
      <xdr:colOff>1097280</xdr:colOff>
      <xdr:row>9</xdr:row>
      <xdr:rowOff>121920</xdr:rowOff>
    </xdr:from>
    <xdr:to>
      <xdr:col>2</xdr:col>
      <xdr:colOff>1821180</xdr:colOff>
      <xdr:row>12</xdr:row>
      <xdr:rowOff>99060</xdr:rowOff>
    </xdr:to>
    <xdr:sp macro="" textlink="'Support Sheet'!C6">
      <xdr:nvSpPr>
        <xdr:cNvPr id="26" name="TextBox 25">
          <a:extLst>
            <a:ext uri="{FF2B5EF4-FFF2-40B4-BE49-F238E27FC236}">
              <a16:creationId xmlns:a16="http://schemas.microsoft.com/office/drawing/2014/main" id="{2C693307-29A4-A6A1-2E94-6F24C87198F8}"/>
            </a:ext>
          </a:extLst>
        </xdr:cNvPr>
        <xdr:cNvSpPr txBox="1"/>
      </xdr:nvSpPr>
      <xdr:spPr>
        <a:xfrm>
          <a:off x="2141220" y="2011680"/>
          <a:ext cx="7239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E2EB34-78E6-4640-AD70-E44B261D0EA0}" type="TxLink">
            <a:rPr lang="en-US" sz="3200" b="1">
              <a:solidFill>
                <a:schemeClr val="bg1"/>
              </a:solidFill>
            </a:rPr>
            <a:pPr/>
            <a:t>16</a:t>
          </a:fld>
          <a:endParaRPr lang="en-IN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2255520</xdr:colOff>
      <xdr:row>3</xdr:row>
      <xdr:rowOff>99060</xdr:rowOff>
    </xdr:from>
    <xdr:to>
      <xdr:col>6</xdr:col>
      <xdr:colOff>822960</xdr:colOff>
      <xdr:row>13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3FEB273-5C23-4D86-BAA5-99BF32C90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213360</xdr:colOff>
      <xdr:row>3</xdr:row>
      <xdr:rowOff>22860</xdr:rowOff>
    </xdr:from>
    <xdr:to>
      <xdr:col>10</xdr:col>
      <xdr:colOff>815340</xdr:colOff>
      <xdr:row>12</xdr:row>
      <xdr:rowOff>121920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111D7F9-D84A-408D-BE5D-279879F54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1537048</xdr:colOff>
      <xdr:row>4</xdr:row>
      <xdr:rowOff>45720</xdr:rowOff>
    </xdr:from>
    <xdr:to>
      <xdr:col>10</xdr:col>
      <xdr:colOff>2964180</xdr:colOff>
      <xdr:row>6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90BDBE6-A43A-5B57-8EF5-E3216755CDFE}"/>
            </a:ext>
          </a:extLst>
        </xdr:cNvPr>
        <xdr:cNvSpPr txBox="1"/>
      </xdr:nvSpPr>
      <xdr:spPr>
        <a:xfrm>
          <a:off x="11435428" y="944880"/>
          <a:ext cx="1427132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</a:rPr>
            <a:t>Overdue</a:t>
          </a:r>
          <a:r>
            <a:rPr lang="en-IN" sz="1600" b="1" baseline="0">
              <a:solidFill>
                <a:schemeClr val="bg1"/>
              </a:solidFill>
            </a:rPr>
            <a:t> Tasks</a:t>
          </a:r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1866900</xdr:colOff>
      <xdr:row>5</xdr:row>
      <xdr:rowOff>68580</xdr:rowOff>
    </xdr:from>
    <xdr:to>
      <xdr:col>10</xdr:col>
      <xdr:colOff>3070860</xdr:colOff>
      <xdr:row>11</xdr:row>
      <xdr:rowOff>137160</xdr:rowOff>
    </xdr:to>
    <xdr:sp macro="" textlink="'Support Sheet'!K3">
      <xdr:nvSpPr>
        <xdr:cNvPr id="33" name="TextBox 32">
          <a:extLst>
            <a:ext uri="{FF2B5EF4-FFF2-40B4-BE49-F238E27FC236}">
              <a16:creationId xmlns:a16="http://schemas.microsoft.com/office/drawing/2014/main" id="{D651950C-FA28-BC39-ABC0-87552167B1F8}"/>
            </a:ext>
          </a:extLst>
        </xdr:cNvPr>
        <xdr:cNvSpPr txBox="1"/>
      </xdr:nvSpPr>
      <xdr:spPr>
        <a:xfrm>
          <a:off x="11765280" y="1165860"/>
          <a:ext cx="1203960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E9F67-2550-4769-8F24-4BE9F6AD6905}" type="TxLink">
            <a:rPr lang="en-US" sz="8800" b="1" i="0" u="none" strike="noStrike">
              <a:solidFill>
                <a:schemeClr val="bg1"/>
              </a:solidFill>
              <a:latin typeface="Aptos Narrow"/>
            </a:rPr>
            <a:pPr/>
            <a:t>8</a:t>
          </a:fld>
          <a:endParaRPr lang="en-US" sz="880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0.2985</cdr:x>
      <cdr:y>0.0108</cdr:y>
    </cdr:from>
    <cdr:to>
      <cdr:x>0.76639</cdr:x>
      <cdr:y>0.21727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79AB514-3BE9-254D-6A01-CF54C70E0DB8}"/>
            </a:ext>
          </a:extLst>
        </cdr:cNvPr>
        <cdr:cNvSpPr txBox="1"/>
      </cdr:nvSpPr>
      <cdr:spPr>
        <a:xfrm xmlns:a="http://schemas.openxmlformats.org/drawingml/2006/main">
          <a:off x="1109980" y="20320"/>
          <a:ext cx="1739900" cy="388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200" b="1" kern="1200">
              <a:solidFill>
                <a:schemeClr val="bg1"/>
              </a:solidFill>
            </a:rPr>
            <a:t># Of Tasks by Owners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A7700-8C60-4BBA-BEA7-C286A909BEC0}" name="Table1" displayName="Table1" ref="B14:K31" totalsRowShown="0" headerRowDxfId="14" headerRowCellStyle="Normal 2">
  <autoFilter ref="B14:K31" xr:uid="{F6BA7700-8C60-4BBA-BEA7-C286A909BEC0}"/>
  <tableColumns count="10">
    <tableColumn id="1" xr3:uid="{B58261EA-D84E-47CD-8CBF-4F25AE2C4036}" name="Task ID" dataDxfId="13"/>
    <tableColumn id="2" xr3:uid="{C272E4E8-BFDD-420C-A4D1-03FF20602E06}" name="Task Name"/>
    <tableColumn id="3" xr3:uid="{76A8C833-0AC7-427B-A64F-2954F08447C7}" name="Team"/>
    <tableColumn id="4" xr3:uid="{16B7DFA5-2ED5-4A1D-B546-AD4BF24C802E}" name="Task Owner"/>
    <tableColumn id="5" xr3:uid="{291E271D-C15C-40C5-B1E3-65EA2D914F58}" name="Start Date" dataDxfId="12"/>
    <tableColumn id="6" xr3:uid="{5F87CBF8-AB92-4794-B3B8-5219977FB3EF}" name="Due Date" dataDxfId="11"/>
    <tableColumn id="7" xr3:uid="{DDDF02BC-2525-40DA-A76C-C5FE12D7C834}" name="Task Duration" dataDxfId="10">
      <calculatedColumnFormula>Table1[[#This Row],[Due Date]]-Table1[[#This Row],[Start Date]]</calculatedColumnFormula>
    </tableColumn>
    <tableColumn id="8" xr3:uid="{F59C4B95-9C17-4B43-AC45-3CC0EA01C31F}" name="Status" dataDxfId="9"/>
    <tableColumn id="9" xr3:uid="{F6BED694-8D26-4BC7-8B67-19305CD28958}" name="Overdue?" dataDxfId="8">
      <calculatedColumnFormula>AND(Table1[[#This Row],[Status]]&lt;&gt;"Completed",Table1[[#This Row],[Due Date]]&lt;TODAY())</calculatedColumnFormula>
    </tableColumn>
    <tableColumn id="10" xr3:uid="{549FEBB8-4DFE-42A6-A303-AD521D0A7BF8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31"/>
  <sheetViews>
    <sheetView showGridLines="0" zoomScaleNormal="100" workbookViewId="0">
      <pane ySplit="14" topLeftCell="A22" activePane="bottomLeft" state="frozen"/>
      <selection pane="bottomLeft" activeCell="K30" sqref="K30"/>
    </sheetView>
  </sheetViews>
  <sheetFormatPr defaultColWidth="11.19921875" defaultRowHeight="15.6" x14ac:dyDescent="0.3"/>
  <cols>
    <col min="1" max="1" width="3.5" customWidth="1"/>
    <col min="2" max="2" width="10.19921875" style="1" bestFit="1" customWidth="1"/>
    <col min="3" max="3" width="32.796875" bestFit="1" customWidth="1"/>
    <col min="4" max="4" width="9" bestFit="1" customWidth="1"/>
    <col min="5" max="5" width="13.3984375" bestFit="1" customWidth="1"/>
    <col min="6" max="6" width="12.3984375" bestFit="1" customWidth="1"/>
    <col min="7" max="7" width="11.59765625" bestFit="1" customWidth="1"/>
    <col min="8" max="8" width="15" bestFit="1" customWidth="1"/>
    <col min="9" max="9" width="10" style="1" bestFit="1" customWidth="1"/>
    <col min="10" max="10" width="12" bestFit="1" customWidth="1"/>
    <col min="11" max="11" width="43.09765625" bestFit="1" customWidth="1"/>
  </cols>
  <sheetData>
    <row r="1" spans="2:11" ht="24" customHeight="1" x14ac:dyDescent="0.3"/>
    <row r="14" spans="2:11" x14ac:dyDescent="0.3">
      <c r="B14" s="4" t="s">
        <v>1</v>
      </c>
      <c r="C14" s="4" t="s">
        <v>0</v>
      </c>
      <c r="D14" s="4" t="s">
        <v>70</v>
      </c>
      <c r="E14" s="4" t="s">
        <v>6</v>
      </c>
      <c r="F14" s="4" t="s">
        <v>2</v>
      </c>
      <c r="G14" s="4" t="s">
        <v>3</v>
      </c>
      <c r="H14" s="4" t="s">
        <v>11</v>
      </c>
      <c r="I14" s="4" t="s">
        <v>4</v>
      </c>
      <c r="J14" s="4" t="s">
        <v>5</v>
      </c>
      <c r="K14" s="4" t="s">
        <v>7</v>
      </c>
    </row>
    <row r="15" spans="2:11" x14ac:dyDescent="0.3">
      <c r="B15" s="1" t="s">
        <v>13</v>
      </c>
      <c r="C15" t="s">
        <v>14</v>
      </c>
      <c r="D15" t="s">
        <v>65</v>
      </c>
      <c r="E15" t="s">
        <v>15</v>
      </c>
      <c r="F15" s="2">
        <v>46267</v>
      </c>
      <c r="G15" s="2">
        <v>46285</v>
      </c>
      <c r="H15" s="6">
        <f>Table1[[#This Row],[Due Date]]-Table1[[#This Row],[Start Date]]</f>
        <v>18</v>
      </c>
      <c r="I15" s="1" t="s">
        <v>16</v>
      </c>
      <c r="J15" s="1" t="b">
        <f ca="1">AND(Table1[[#This Row],[Status]]&lt;&gt;"Completed",Table1[[#This Row],[Due Date]]&lt;TODAY())</f>
        <v>0</v>
      </c>
      <c r="K15" t="s">
        <v>17</v>
      </c>
    </row>
    <row r="16" spans="2:11" x14ac:dyDescent="0.3">
      <c r="B16" s="1" t="s">
        <v>18</v>
      </c>
      <c r="C16" t="s">
        <v>62</v>
      </c>
      <c r="D16" t="s">
        <v>57</v>
      </c>
      <c r="E16" t="s">
        <v>15</v>
      </c>
      <c r="F16" s="2">
        <v>46270</v>
      </c>
      <c r="G16" s="2">
        <v>46290</v>
      </c>
      <c r="H16" s="6">
        <f>Table1[[#This Row],[Due Date]]-Table1[[#This Row],[Start Date]]</f>
        <v>20</v>
      </c>
      <c r="I16" s="1" t="s">
        <v>16</v>
      </c>
      <c r="J16" s="1" t="b">
        <f ca="1">AND(Table1[[#This Row],[Status]]&lt;&gt;"Completed",Table1[[#This Row],[Due Date]]&lt;TODAY())</f>
        <v>0</v>
      </c>
      <c r="K16" t="s">
        <v>20</v>
      </c>
    </row>
    <row r="17" spans="2:11" x14ac:dyDescent="0.3">
      <c r="B17" s="1" t="s">
        <v>21</v>
      </c>
      <c r="C17" t="s">
        <v>22</v>
      </c>
      <c r="D17" t="s">
        <v>57</v>
      </c>
      <c r="E17" t="s">
        <v>19</v>
      </c>
      <c r="F17" s="2">
        <v>46213</v>
      </c>
      <c r="G17" s="2">
        <v>46239</v>
      </c>
      <c r="H17" s="6">
        <f>Table1[[#This Row],[Due Date]]-Table1[[#This Row],[Start Date]]</f>
        <v>26</v>
      </c>
      <c r="I17" s="1" t="s">
        <v>8</v>
      </c>
      <c r="J17" s="1" t="b">
        <f ca="1">AND(Table1[[#This Row],[Status]]&lt;&gt;"Completed",Table1[[#This Row],[Due Date]]&lt;TODAY())</f>
        <v>1</v>
      </c>
      <c r="K17" t="s">
        <v>23</v>
      </c>
    </row>
    <row r="18" spans="2:11" x14ac:dyDescent="0.3">
      <c r="B18" s="1" t="s">
        <v>24</v>
      </c>
      <c r="C18" t="s">
        <v>25</v>
      </c>
      <c r="D18" t="s">
        <v>65</v>
      </c>
      <c r="E18" t="s">
        <v>15</v>
      </c>
      <c r="F18" s="2">
        <v>46277</v>
      </c>
      <c r="G18" s="2">
        <v>46295</v>
      </c>
      <c r="H18" s="6">
        <f>Table1[[#This Row],[Due Date]]-Table1[[#This Row],[Start Date]]</f>
        <v>18</v>
      </c>
      <c r="I18" s="1" t="s">
        <v>16</v>
      </c>
      <c r="J18" s="1" t="b">
        <f ca="1">AND(Table1[[#This Row],[Status]]&lt;&gt;"Completed",Table1[[#This Row],[Due Date]]&lt;TODAY())</f>
        <v>0</v>
      </c>
      <c r="K18" t="s">
        <v>27</v>
      </c>
    </row>
    <row r="19" spans="2:11" x14ac:dyDescent="0.3">
      <c r="B19" s="1" t="s">
        <v>28</v>
      </c>
      <c r="C19" t="s">
        <v>29</v>
      </c>
      <c r="D19" t="s">
        <v>57</v>
      </c>
      <c r="E19" t="s">
        <v>26</v>
      </c>
      <c r="F19" s="2">
        <v>46280</v>
      </c>
      <c r="G19" s="2">
        <v>46305</v>
      </c>
      <c r="H19" s="6">
        <f>Table1[[#This Row],[Due Date]]-Table1[[#This Row],[Start Date]]</f>
        <v>25</v>
      </c>
      <c r="I19" s="1" t="s">
        <v>8</v>
      </c>
      <c r="J19" s="1" t="b">
        <f ca="1">AND(Table1[[#This Row],[Status]]&lt;&gt;"Completed",Table1[[#This Row],[Due Date]]&lt;TODAY())</f>
        <v>1</v>
      </c>
      <c r="K19" t="s">
        <v>31</v>
      </c>
    </row>
    <row r="20" spans="2:11" x14ac:dyDescent="0.3">
      <c r="B20" s="1" t="s">
        <v>32</v>
      </c>
      <c r="C20" t="s">
        <v>33</v>
      </c>
      <c r="D20" t="s">
        <v>66</v>
      </c>
      <c r="E20" t="s">
        <v>19</v>
      </c>
      <c r="F20" s="2">
        <v>46283</v>
      </c>
      <c r="G20" s="2">
        <v>46310</v>
      </c>
      <c r="H20" s="6">
        <f>Table1[[#This Row],[Due Date]]-Table1[[#This Row],[Start Date]]</f>
        <v>27</v>
      </c>
      <c r="I20" s="1" t="s">
        <v>8</v>
      </c>
      <c r="J20" s="1" t="b">
        <f ca="1">AND(Table1[[#This Row],[Status]]&lt;&gt;"Completed",Table1[[#This Row],[Due Date]]&lt;TODAY())</f>
        <v>1</v>
      </c>
      <c r="K20" t="s">
        <v>35</v>
      </c>
    </row>
    <row r="21" spans="2:11" x14ac:dyDescent="0.3">
      <c r="B21" s="1" t="s">
        <v>36</v>
      </c>
      <c r="C21" t="s">
        <v>63</v>
      </c>
      <c r="D21" t="s">
        <v>66</v>
      </c>
      <c r="E21" t="s">
        <v>30</v>
      </c>
      <c r="F21" s="2">
        <v>46254</v>
      </c>
      <c r="G21" s="2">
        <v>46261</v>
      </c>
      <c r="H21" s="6">
        <f>Table1[[#This Row],[Due Date]]-Table1[[#This Row],[Start Date]]</f>
        <v>7</v>
      </c>
      <c r="I21" s="1" t="s">
        <v>9</v>
      </c>
      <c r="J21" s="1" t="b">
        <f ca="1">AND(Table1[[#This Row],[Status]]&lt;&gt;"Completed",Table1[[#This Row],[Due Date]]&lt;TODAY())</f>
        <v>1</v>
      </c>
      <c r="K21" t="s">
        <v>37</v>
      </c>
    </row>
    <row r="22" spans="2:11" x14ac:dyDescent="0.3">
      <c r="B22" s="1" t="s">
        <v>38</v>
      </c>
      <c r="C22" t="s">
        <v>39</v>
      </c>
      <c r="D22" t="s">
        <v>40</v>
      </c>
      <c r="E22" t="s">
        <v>30</v>
      </c>
      <c r="F22" s="2">
        <v>46287</v>
      </c>
      <c r="G22" s="2">
        <v>46307</v>
      </c>
      <c r="H22" s="6">
        <f>Table1[[#This Row],[Due Date]]-Table1[[#This Row],[Start Date]]</f>
        <v>20</v>
      </c>
      <c r="I22" s="1" t="s">
        <v>8</v>
      </c>
      <c r="J22" s="1" t="b">
        <f ca="1">AND(Table1[[#This Row],[Status]]&lt;&gt;"Completed",Table1[[#This Row],[Due Date]]&lt;TODAY())</f>
        <v>1</v>
      </c>
      <c r="K22" t="s">
        <v>41</v>
      </c>
    </row>
    <row r="23" spans="2:11" x14ac:dyDescent="0.3">
      <c r="B23" s="1" t="s">
        <v>42</v>
      </c>
      <c r="C23" t="s">
        <v>43</v>
      </c>
      <c r="D23" t="s">
        <v>66</v>
      </c>
      <c r="E23" t="s">
        <v>15</v>
      </c>
      <c r="F23" s="2">
        <v>46288</v>
      </c>
      <c r="G23" s="2">
        <v>46315</v>
      </c>
      <c r="H23" s="6">
        <f>Table1[[#This Row],[Due Date]]-Table1[[#This Row],[Start Date]]</f>
        <v>27</v>
      </c>
      <c r="I23" s="1" t="s">
        <v>16</v>
      </c>
      <c r="J23" s="1" t="b">
        <f ca="1">AND(Table1[[#This Row],[Status]]&lt;&gt;"Completed",Table1[[#This Row],[Due Date]]&lt;TODAY())</f>
        <v>0</v>
      </c>
      <c r="K23" t="s">
        <v>44</v>
      </c>
    </row>
    <row r="24" spans="2:11" x14ac:dyDescent="0.3">
      <c r="B24" s="1" t="s">
        <v>45</v>
      </c>
      <c r="C24" t="s">
        <v>64</v>
      </c>
      <c r="D24" t="s">
        <v>66</v>
      </c>
      <c r="E24" t="s">
        <v>15</v>
      </c>
      <c r="F24" s="2">
        <v>46289</v>
      </c>
      <c r="G24" s="2">
        <v>46300</v>
      </c>
      <c r="H24" s="6">
        <f>Table1[[#This Row],[Due Date]]-Table1[[#This Row],[Start Date]]</f>
        <v>11</v>
      </c>
      <c r="I24" s="1" t="s">
        <v>8</v>
      </c>
      <c r="J24" s="1" t="b">
        <f ca="1">AND(Table1[[#This Row],[Status]]&lt;&gt;"Completed",Table1[[#This Row],[Due Date]]&lt;TODAY())</f>
        <v>1</v>
      </c>
      <c r="K24" t="s">
        <v>46</v>
      </c>
    </row>
    <row r="25" spans="2:11" x14ac:dyDescent="0.3">
      <c r="B25" s="1" t="s">
        <v>47</v>
      </c>
      <c r="C25" t="s">
        <v>48</v>
      </c>
      <c r="D25" t="s">
        <v>65</v>
      </c>
      <c r="E25" t="s">
        <v>19</v>
      </c>
      <c r="F25" s="2">
        <v>46290</v>
      </c>
      <c r="G25" s="2">
        <v>46297</v>
      </c>
      <c r="H25" s="6">
        <f>Table1[[#This Row],[Due Date]]-Table1[[#This Row],[Start Date]]</f>
        <v>7</v>
      </c>
      <c r="I25" s="1" t="s">
        <v>16</v>
      </c>
      <c r="J25" s="1" t="b">
        <f ca="1">AND(Table1[[#This Row],[Status]]&lt;&gt;"Completed",Table1[[#This Row],[Due Date]]&lt;TODAY())</f>
        <v>0</v>
      </c>
      <c r="K25" t="s">
        <v>49</v>
      </c>
    </row>
    <row r="26" spans="2:11" x14ac:dyDescent="0.3">
      <c r="B26" s="1" t="s">
        <v>50</v>
      </c>
      <c r="C26" t="s">
        <v>67</v>
      </c>
      <c r="D26" s="3" t="s">
        <v>57</v>
      </c>
      <c r="E26" t="s">
        <v>15</v>
      </c>
      <c r="F26" s="2">
        <v>46291</v>
      </c>
      <c r="G26" s="2">
        <v>46325</v>
      </c>
      <c r="H26" s="6">
        <f>Table1[[#This Row],[Due Date]]-Table1[[#This Row],[Start Date]]</f>
        <v>34</v>
      </c>
      <c r="I26" s="1" t="s">
        <v>16</v>
      </c>
      <c r="J26" s="1" t="b">
        <f ca="1">AND(Table1[[#This Row],[Status]]&lt;&gt;"Completed",Table1[[#This Row],[Due Date]]&lt;TODAY())</f>
        <v>0</v>
      </c>
      <c r="K26" t="s">
        <v>51</v>
      </c>
    </row>
    <row r="27" spans="2:11" x14ac:dyDescent="0.3">
      <c r="B27" s="1" t="s">
        <v>52</v>
      </c>
      <c r="C27" t="s">
        <v>53</v>
      </c>
      <c r="D27" s="3" t="s">
        <v>57</v>
      </c>
      <c r="E27" t="s">
        <v>34</v>
      </c>
      <c r="F27" s="2">
        <v>46292</v>
      </c>
      <c r="G27" s="2">
        <v>46302</v>
      </c>
      <c r="H27" s="6">
        <f>Table1[[#This Row],[Due Date]]-Table1[[#This Row],[Start Date]]</f>
        <v>10</v>
      </c>
      <c r="I27" s="1" t="s">
        <v>8</v>
      </c>
      <c r="J27" s="1" t="b">
        <f ca="1">AND(Table1[[#This Row],[Status]]&lt;&gt;"Completed",Table1[[#This Row],[Due Date]]&lt;TODAY())</f>
        <v>1</v>
      </c>
      <c r="K27" t="s">
        <v>54</v>
      </c>
    </row>
    <row r="28" spans="2:11" x14ac:dyDescent="0.3">
      <c r="B28" s="1" t="s">
        <v>55</v>
      </c>
      <c r="C28" t="s">
        <v>56</v>
      </c>
      <c r="D28" t="s">
        <v>57</v>
      </c>
      <c r="E28" t="s">
        <v>34</v>
      </c>
      <c r="F28" s="2">
        <v>46293</v>
      </c>
      <c r="G28" s="2">
        <v>46313</v>
      </c>
      <c r="H28" s="6">
        <f>Table1[[#This Row],[Due Date]]-Table1[[#This Row],[Start Date]]</f>
        <v>20</v>
      </c>
      <c r="I28" s="1" t="s">
        <v>16</v>
      </c>
      <c r="J28" s="1" t="b">
        <f ca="1">AND(Table1[[#This Row],[Status]]&lt;&gt;"Completed",Table1[[#This Row],[Due Date]]&lt;TODAY())</f>
        <v>0</v>
      </c>
      <c r="K28" t="s">
        <v>58</v>
      </c>
    </row>
    <row r="29" spans="2:11" x14ac:dyDescent="0.3">
      <c r="B29" s="1" t="s">
        <v>59</v>
      </c>
      <c r="C29" t="s">
        <v>60</v>
      </c>
      <c r="D29" t="s">
        <v>65</v>
      </c>
      <c r="E29" t="s">
        <v>34</v>
      </c>
      <c r="F29" s="2">
        <v>46294</v>
      </c>
      <c r="G29" s="2">
        <v>46299</v>
      </c>
      <c r="H29" s="6">
        <f>Table1[[#This Row],[Due Date]]-Table1[[#This Row],[Start Date]]</f>
        <v>5</v>
      </c>
      <c r="I29" s="1" t="s">
        <v>9</v>
      </c>
      <c r="J29" s="1" t="b">
        <f ca="1">AND(Table1[[#This Row],[Status]]&lt;&gt;"Completed",Table1[[#This Row],[Due Date]]&lt;TODAY())</f>
        <v>1</v>
      </c>
      <c r="K29" t="s">
        <v>61</v>
      </c>
    </row>
    <row r="30" spans="2:11" x14ac:dyDescent="0.3">
      <c r="B30" s="1" t="s">
        <v>71</v>
      </c>
      <c r="C30" t="s">
        <v>72</v>
      </c>
      <c r="D30" t="s">
        <v>40</v>
      </c>
      <c r="E30" t="s">
        <v>19</v>
      </c>
      <c r="F30" s="2"/>
      <c r="G30" s="2"/>
      <c r="H30" s="6">
        <f>Table1[[#This Row],[Due Date]]-Table1[[#This Row],[Start Date]]</f>
        <v>0</v>
      </c>
      <c r="I30" s="1" t="s">
        <v>16</v>
      </c>
      <c r="J30" s="1" t="b">
        <f ca="1">AND(Table1[[#This Row],[Status]]&lt;&gt;"Completed",Table1[[#This Row],[Due Date]]&lt;TODAY())</f>
        <v>0</v>
      </c>
    </row>
    <row r="31" spans="2:11" x14ac:dyDescent="0.3">
      <c r="F31" s="2"/>
      <c r="G31" s="2"/>
      <c r="H31" s="6"/>
      <c r="J31" s="7"/>
    </row>
  </sheetData>
  <conditionalFormatting sqref="I15:I31">
    <cfRule type="cellIs" dxfId="3" priority="2" operator="equal">
      <formula>"Not Started"</formula>
    </cfRule>
    <cfRule type="cellIs" dxfId="2" priority="3" operator="equal">
      <formula>"In Progress"</formula>
    </cfRule>
    <cfRule type="cellIs" dxfId="1" priority="4" operator="equal">
      <formula>"Completed"</formula>
    </cfRule>
  </conditionalFormatting>
  <conditionalFormatting sqref="J15:J31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62204E-2194-46B4-A951-55FABA973BF4}">
          <x14:formula1>
            <xm:f>'Support Sheet'!$E$3:$E$7</xm:f>
          </x14:formula1>
          <xm:sqref>E15:E31</xm:sqref>
        </x14:dataValidation>
        <x14:dataValidation type="list" allowBlank="1" showInputMessage="1" showErrorMessage="1" xr:uid="{67FDDF27-8B57-4073-8BCA-52954EF4F4BF}">
          <x14:formula1>
            <xm:f>'Support Sheet'!$H$3:$H$6</xm:f>
          </x14:formula1>
          <xm:sqref>D15:D31</xm:sqref>
        </x14:dataValidation>
        <x14:dataValidation type="list" allowBlank="1" showInputMessage="1" showErrorMessage="1" xr:uid="{2219C26B-BC7F-4B20-B1B9-EAB27C059B07}">
          <x14:formula1>
            <xm:f>'Support Sheet'!$B$3:$B$6</xm:f>
          </x14:formula1>
          <xm:sqref>I15:I31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tabSelected="1" zoomScale="115" zoomScaleNormal="115" workbookViewId="0">
      <selection activeCell="E12" sqref="E12"/>
    </sheetView>
  </sheetViews>
  <sheetFormatPr defaultColWidth="11.19921875" defaultRowHeight="15.6" x14ac:dyDescent="0.3"/>
  <cols>
    <col min="1" max="1" width="3.296875" customWidth="1"/>
    <col min="3" max="3" width="6.19921875" bestFit="1" customWidth="1"/>
    <col min="4" max="4" width="7.796875" customWidth="1"/>
    <col min="5" max="5" width="14.19921875" bestFit="1" customWidth="1"/>
    <col min="6" max="6" width="6.19921875" style="1" bestFit="1" customWidth="1"/>
    <col min="7" max="7" width="7.796875" customWidth="1"/>
    <col min="9" max="9" width="6.19921875" bestFit="1" customWidth="1"/>
    <col min="10" max="10" width="7.796875" customWidth="1"/>
    <col min="11" max="11" width="8" bestFit="1" customWidth="1"/>
  </cols>
  <sheetData>
    <row r="2" spans="2:11" x14ac:dyDescent="0.3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 x14ac:dyDescent="0.3">
      <c r="B3" t="s">
        <v>16</v>
      </c>
      <c r="C3" s="1">
        <f>COUNTIF(Table1[Status],'Support Sheet'!B3)</f>
        <v>8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COUNTIF(Table1[Team],'Support Sheet'!H3)</f>
        <v>4</v>
      </c>
      <c r="K3" s="1">
        <f ca="1">COUNTIF(Table1[Overdue?],"TRUE")</f>
        <v>8</v>
      </c>
    </row>
    <row r="4" spans="2:11" x14ac:dyDescent="0.3">
      <c r="B4" t="s">
        <v>8</v>
      </c>
      <c r="C4" s="1">
        <f>COUNTIF(Table1[Status],'Support Sheet'!B4)</f>
        <v>6</v>
      </c>
      <c r="E4" t="s">
        <v>19</v>
      </c>
      <c r="F4" s="1">
        <f>COUNTIF(Table1[Task Owner],'Support Sheet'!E4)</f>
        <v>4</v>
      </c>
      <c r="H4" t="s">
        <v>57</v>
      </c>
      <c r="I4" s="1">
        <f>COUNTIF(Table1[Team],'Support Sheet'!H4)</f>
        <v>6</v>
      </c>
    </row>
    <row r="5" spans="2:11" x14ac:dyDescent="0.3">
      <c r="B5" t="s">
        <v>9</v>
      </c>
      <c r="C5" s="1">
        <f>COUNTIF(Table1[Status],'Support Sheet'!B5)</f>
        <v>2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COUNTIF(Table1[Team],'Support Sheet'!H5)</f>
        <v>4</v>
      </c>
    </row>
    <row r="6" spans="2:11" x14ac:dyDescent="0.3">
      <c r="B6" t="s">
        <v>69</v>
      </c>
      <c r="C6" s="1">
        <f>SUM(C3,C4,C5)</f>
        <v>16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COUNTIF(Table1[Team],'Support Sheet'!H6)</f>
        <v>2</v>
      </c>
    </row>
    <row r="7" spans="2:11" x14ac:dyDescent="0.3">
      <c r="E7" t="s">
        <v>34</v>
      </c>
      <c r="F7" s="1">
        <f>COUNTIF(Table1[Task Owner],'Support Sheet'!E7)</f>
        <v>3</v>
      </c>
      <c r="I7" s="1"/>
    </row>
    <row r="10" spans="2:11" x14ac:dyDescent="0.3"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VENKATA NAGA SAI SRI KRISHNA VYAKARANAM</cp:lastModifiedBy>
  <dcterms:created xsi:type="dcterms:W3CDTF">2025-09-19T00:51:58Z</dcterms:created>
  <dcterms:modified xsi:type="dcterms:W3CDTF">2026-10-21T11:15:44Z</dcterms:modified>
</cp:coreProperties>
</file>